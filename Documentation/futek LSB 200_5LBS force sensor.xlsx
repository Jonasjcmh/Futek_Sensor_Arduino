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ti\Documents\GitHub\Futek_Sensor_Arduino\Documentation\"/>
    </mc:Choice>
  </mc:AlternateContent>
  <xr:revisionPtr revIDLastSave="0" documentId="13_ncr:1_{2E78277C-D3F4-4A8F-A25B-091A4DD9EE3F}" xr6:coauthVersionLast="47" xr6:coauthVersionMax="47" xr10:uidLastSave="{00000000-0000-0000-0000-000000000000}"/>
  <bookViews>
    <workbookView xWindow="-11775" yWindow="7785" windowWidth="21600" windowHeight="11385" activeTab="1" xr2:uid="{61E56C63-5102-4D40-A6C0-4466FE1CBF0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1" i="2" l="1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50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28" i="2"/>
</calcChain>
</file>

<file path=xl/sharedStrings.xml><?xml version="1.0" encoding="utf-8"?>
<sst xmlns="http://schemas.openxmlformats.org/spreadsheetml/2006/main" count="27" uniqueCount="14">
  <si>
    <t>Compression</t>
  </si>
  <si>
    <t>Weight (g)</t>
  </si>
  <si>
    <t>Output voltage (V)</t>
  </si>
  <si>
    <t>Tensile</t>
  </si>
  <si>
    <t>Force (N)</t>
  </si>
  <si>
    <t>Tensile Test</t>
  </si>
  <si>
    <t>a</t>
  </si>
  <si>
    <t>b</t>
  </si>
  <si>
    <t>Weight</t>
  </si>
  <si>
    <t>Force</t>
  </si>
  <si>
    <t>Arduino value</t>
  </si>
  <si>
    <t>Linear Equation  voltage=ax+b</t>
  </si>
  <si>
    <t>x</t>
  </si>
  <si>
    <t>Linear Equation  Force=a*digital_value+b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</si>
</sst>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5" formatCode="0.00_ ;\-0.00\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43" fontId="0" fillId="0" borderId="0" xfId="1" applyFont="1"/>
    <xf numFmtId="0" fontId="0" fillId="0" borderId="0" xfId="0" applyAlignment="1">
      <alignment horizontal="center"/>
    </xf>
    <xf numFmtId="165" fontId="0" fillId="0" borderId="0" xfId="0" applyNumberFormat="1"/>
    <xf numFmtId="0" fontId="0" fillId="0" borderId="1" xfId="0" applyBorder="1"/>
    <xf numFmtId="165" fontId="0" fillId="0" borderId="1" xfId="1" applyNumberFormat="1" applyFont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2" fontId="0" fillId="0" borderId="1" xfId="0" applyNumberFormat="1" applyBorder="1"/>
    <xf numFmtId="1" fontId="0" fillId="0" borderId="1" xfId="0" applyNumberFormat="1" applyBorder="1"/>
    <xf numFmtId="0" fontId="2" fillId="0" borderId="0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Sheet1!$B$1:$B$2</c:f>
              <c:strCache>
                <c:ptCount val="2"/>
                <c:pt idx="0">
                  <c:v>Compression</c:v>
                </c:pt>
                <c:pt idx="1">
                  <c:v>Output voltage (V)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Sheet1!$A$3:$A$14</c:f>
              <c:numCache>
                <c:formatCode>_(* #,##0.00_);_(* \(#,##0.00\);_(* "-"??_);_(@_)</c:formatCode>
                <c:ptCount val="12"/>
                <c:pt idx="0" formatCode="General">
                  <c:v>0</c:v>
                </c:pt>
                <c:pt idx="1">
                  <c:v>0.5</c:v>
                </c:pt>
                <c:pt idx="2" formatCode="General">
                  <c:v>1</c:v>
                </c:pt>
                <c:pt idx="3" formatCode="General">
                  <c:v>2</c:v>
                </c:pt>
                <c:pt idx="4" formatCode="General">
                  <c:v>5</c:v>
                </c:pt>
                <c:pt idx="5" formatCode="General">
                  <c:v>10</c:v>
                </c:pt>
                <c:pt idx="6" formatCode="General">
                  <c:v>20</c:v>
                </c:pt>
                <c:pt idx="7" formatCode="General">
                  <c:v>50</c:v>
                </c:pt>
                <c:pt idx="8" formatCode="General">
                  <c:v>100</c:v>
                </c:pt>
                <c:pt idx="9" formatCode="General">
                  <c:v>200</c:v>
                </c:pt>
                <c:pt idx="10" formatCode="General">
                  <c:v>300</c:v>
                </c:pt>
                <c:pt idx="11" formatCode="General">
                  <c:v>350</c:v>
                </c:pt>
              </c:numCache>
            </c:numRef>
          </c:xVal>
          <c:yVal>
            <c:numRef>
              <c:f>Sheet1!$B$3:$B$14</c:f>
              <c:numCache>
                <c:formatCode>General</c:formatCode>
                <c:ptCount val="12"/>
                <c:pt idx="0">
                  <c:v>6.9000000000000006E-2</c:v>
                </c:pt>
                <c:pt idx="1">
                  <c:v>6.3E-2</c:v>
                </c:pt>
                <c:pt idx="2">
                  <c:v>5.8999999999999997E-2</c:v>
                </c:pt>
                <c:pt idx="3">
                  <c:v>5.6000000000000001E-2</c:v>
                </c:pt>
                <c:pt idx="4">
                  <c:v>4.4999999999999998E-2</c:v>
                </c:pt>
                <c:pt idx="5">
                  <c:v>2.5000000000000001E-2</c:v>
                </c:pt>
                <c:pt idx="6">
                  <c:v>-5.0000000000000001E-3</c:v>
                </c:pt>
                <c:pt idx="7">
                  <c:v>-0.10199999999999999</c:v>
                </c:pt>
                <c:pt idx="8">
                  <c:v>-0.26500000000000001</c:v>
                </c:pt>
                <c:pt idx="9">
                  <c:v>-0.58299999999999996</c:v>
                </c:pt>
                <c:pt idx="10">
                  <c:v>-0.97699999999999998</c:v>
                </c:pt>
                <c:pt idx="11">
                  <c:v>-1.0780000000000001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42-4443-A876-62EE96690A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8068576"/>
        <c:axId val="758069232"/>
      </c:scatterChart>
      <c:valAx>
        <c:axId val="758068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758069232"/>
        <c:crosses val="autoZero"/>
        <c:crossBetween val="midCat"/>
      </c:valAx>
      <c:valAx>
        <c:axId val="75806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758068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Sheet1!$E$1:$E$2</c:f>
              <c:strCache>
                <c:ptCount val="2"/>
                <c:pt idx="0">
                  <c:v>Tensile</c:v>
                </c:pt>
                <c:pt idx="1">
                  <c:v>Output voltage (V)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Sheet1!$D$3:$D$8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Sheet1!$E$3:$E$8</c:f>
              <c:numCache>
                <c:formatCode>General</c:formatCode>
                <c:ptCount val="6"/>
                <c:pt idx="0">
                  <c:v>8.6999999999999994E-2</c:v>
                </c:pt>
                <c:pt idx="1">
                  <c:v>0.111</c:v>
                </c:pt>
                <c:pt idx="2">
                  <c:v>0.13700000000000001</c:v>
                </c:pt>
                <c:pt idx="3">
                  <c:v>0.23599999999999999</c:v>
                </c:pt>
                <c:pt idx="4">
                  <c:v>0.38800000000000001</c:v>
                </c:pt>
                <c:pt idx="5">
                  <c:v>0.72799999999999998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C43-401C-8EF9-ECBE30FAA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7827664"/>
        <c:axId val="347827992"/>
      </c:scatterChart>
      <c:valAx>
        <c:axId val="347827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47827992"/>
        <c:crosses val="autoZero"/>
        <c:crossBetween val="midCat"/>
      </c:valAx>
      <c:valAx>
        <c:axId val="347827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47827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Sheet2!$B$2</c:f>
              <c:strCache>
                <c:ptCount val="1"/>
                <c:pt idx="0">
                  <c:v>Output voltage (V)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102362204724411"/>
                  <c:y val="2.89760134149897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a-DK"/>
                </a:p>
              </c:txPr>
            </c:trendlineLbl>
          </c:trendline>
          <c:xVal>
            <c:numRef>
              <c:f>Sheet2!$A$3:$A$20</c:f>
              <c:numCache>
                <c:formatCode>General</c:formatCode>
                <c:ptCount val="18"/>
                <c:pt idx="0">
                  <c:v>200</c:v>
                </c:pt>
                <c:pt idx="1">
                  <c:v>100</c:v>
                </c:pt>
                <c:pt idx="2">
                  <c:v>50</c:v>
                </c:pt>
                <c:pt idx="3">
                  <c:v>20</c:v>
                </c:pt>
                <c:pt idx="4">
                  <c:v>10</c:v>
                </c:pt>
                <c:pt idx="5">
                  <c:v>5</c:v>
                </c:pt>
                <c:pt idx="6">
                  <c:v>0</c:v>
                </c:pt>
                <c:pt idx="7" formatCode="0.00_ ;\-0.00\ ">
                  <c:v>-0.5</c:v>
                </c:pt>
                <c:pt idx="8">
                  <c:v>-1</c:v>
                </c:pt>
                <c:pt idx="9">
                  <c:v>-2</c:v>
                </c:pt>
                <c:pt idx="10">
                  <c:v>-5</c:v>
                </c:pt>
                <c:pt idx="11">
                  <c:v>-10</c:v>
                </c:pt>
                <c:pt idx="12">
                  <c:v>-20</c:v>
                </c:pt>
                <c:pt idx="13">
                  <c:v>-50</c:v>
                </c:pt>
                <c:pt idx="14">
                  <c:v>-100</c:v>
                </c:pt>
                <c:pt idx="15">
                  <c:v>-200</c:v>
                </c:pt>
                <c:pt idx="16">
                  <c:v>-300</c:v>
                </c:pt>
                <c:pt idx="17">
                  <c:v>-350</c:v>
                </c:pt>
              </c:numCache>
            </c:numRef>
          </c:xVal>
          <c:yVal>
            <c:numRef>
              <c:f>Sheet2!$B$3:$B$20</c:f>
              <c:numCache>
                <c:formatCode>General</c:formatCode>
                <c:ptCount val="18"/>
                <c:pt idx="0">
                  <c:v>0.72799999999999998</c:v>
                </c:pt>
                <c:pt idx="1">
                  <c:v>0.38800000000000001</c:v>
                </c:pt>
                <c:pt idx="2">
                  <c:v>0.23599999999999999</c:v>
                </c:pt>
                <c:pt idx="3">
                  <c:v>0.13700000000000001</c:v>
                </c:pt>
                <c:pt idx="4">
                  <c:v>0.111</c:v>
                </c:pt>
                <c:pt idx="5">
                  <c:v>8.6999999999999994E-2</c:v>
                </c:pt>
                <c:pt idx="6">
                  <c:v>6.9000000000000006E-2</c:v>
                </c:pt>
                <c:pt idx="7">
                  <c:v>6.3E-2</c:v>
                </c:pt>
                <c:pt idx="8">
                  <c:v>5.8999999999999997E-2</c:v>
                </c:pt>
                <c:pt idx="9">
                  <c:v>5.6000000000000001E-2</c:v>
                </c:pt>
                <c:pt idx="10">
                  <c:v>4.4999999999999998E-2</c:v>
                </c:pt>
                <c:pt idx="11">
                  <c:v>2.5000000000000001E-2</c:v>
                </c:pt>
                <c:pt idx="12">
                  <c:v>-5.0000000000000001E-3</c:v>
                </c:pt>
                <c:pt idx="13">
                  <c:v>-0.10199999999999999</c:v>
                </c:pt>
                <c:pt idx="14">
                  <c:v>-0.26500000000000001</c:v>
                </c:pt>
                <c:pt idx="15">
                  <c:v>-0.58299999999999996</c:v>
                </c:pt>
                <c:pt idx="16">
                  <c:v>-0.97699999999999998</c:v>
                </c:pt>
                <c:pt idx="17">
                  <c:v>-1.0780000000000001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66-44B9-A192-45BF9DD41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0153680"/>
        <c:axId val="740155320"/>
      </c:scatterChart>
      <c:valAx>
        <c:axId val="7401536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Weight</a:t>
                </a:r>
                <a:r>
                  <a:rPr lang="da-DK" baseline="0"/>
                  <a:t> (g)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740155320"/>
        <c:crosses val="autoZero"/>
        <c:crossBetween val="midCat"/>
      </c:valAx>
      <c:valAx>
        <c:axId val="740155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Output Voltage</a:t>
                </a:r>
                <a:r>
                  <a:rPr lang="da-DK" baseline="0"/>
                  <a:t> (V)</a:t>
                </a:r>
                <a:endParaRPr lang="da-DK"/>
              </a:p>
            </c:rich>
          </c:tx>
          <c:layout>
            <c:manualLayout>
              <c:xMode val="edge"/>
              <c:yMode val="edge"/>
              <c:x val="2.7777777777777779E-3"/>
              <c:y val="0.274050743657042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7401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Sheet2!$C$27</c:f>
              <c:strCache>
                <c:ptCount val="1"/>
                <c:pt idx="0">
                  <c:v>Output voltage (V)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651266404199475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a-DK"/>
                </a:p>
              </c:txPr>
            </c:trendlineLbl>
          </c:trendline>
          <c:xVal>
            <c:numRef>
              <c:f>Sheet2!$B$28:$B$45</c:f>
              <c:numCache>
                <c:formatCode>General</c:formatCode>
                <c:ptCount val="18"/>
                <c:pt idx="0">
                  <c:v>1.9600000000000002</c:v>
                </c:pt>
                <c:pt idx="1">
                  <c:v>0.98000000000000009</c:v>
                </c:pt>
                <c:pt idx="2">
                  <c:v>0.49000000000000005</c:v>
                </c:pt>
                <c:pt idx="3">
                  <c:v>0.19600000000000001</c:v>
                </c:pt>
                <c:pt idx="4">
                  <c:v>9.8000000000000004E-2</c:v>
                </c:pt>
                <c:pt idx="5">
                  <c:v>4.9000000000000002E-2</c:v>
                </c:pt>
                <c:pt idx="6">
                  <c:v>0</c:v>
                </c:pt>
                <c:pt idx="7">
                  <c:v>-4.9000000000000007E-3</c:v>
                </c:pt>
                <c:pt idx="8">
                  <c:v>-9.8000000000000014E-3</c:v>
                </c:pt>
                <c:pt idx="9">
                  <c:v>-1.9600000000000003E-2</c:v>
                </c:pt>
                <c:pt idx="10">
                  <c:v>-4.9000000000000002E-2</c:v>
                </c:pt>
                <c:pt idx="11">
                  <c:v>-9.8000000000000004E-2</c:v>
                </c:pt>
                <c:pt idx="12">
                  <c:v>-0.19600000000000001</c:v>
                </c:pt>
                <c:pt idx="13">
                  <c:v>-0.49000000000000005</c:v>
                </c:pt>
                <c:pt idx="14">
                  <c:v>-0.98000000000000009</c:v>
                </c:pt>
                <c:pt idx="15">
                  <c:v>-1.9600000000000002</c:v>
                </c:pt>
                <c:pt idx="16">
                  <c:v>-2.94</c:v>
                </c:pt>
                <c:pt idx="17">
                  <c:v>-3.4300000000000006</c:v>
                </c:pt>
              </c:numCache>
            </c:numRef>
          </c:xVal>
          <c:yVal>
            <c:numRef>
              <c:f>Sheet2!$C$28:$C$45</c:f>
              <c:numCache>
                <c:formatCode>General</c:formatCode>
                <c:ptCount val="18"/>
                <c:pt idx="0">
                  <c:v>0.72799999999999998</c:v>
                </c:pt>
                <c:pt idx="1">
                  <c:v>0.38800000000000001</c:v>
                </c:pt>
                <c:pt idx="2">
                  <c:v>0.23599999999999999</c:v>
                </c:pt>
                <c:pt idx="3">
                  <c:v>0.13700000000000001</c:v>
                </c:pt>
                <c:pt idx="4">
                  <c:v>0.111</c:v>
                </c:pt>
                <c:pt idx="5">
                  <c:v>8.6999999999999994E-2</c:v>
                </c:pt>
                <c:pt idx="6">
                  <c:v>6.9000000000000006E-2</c:v>
                </c:pt>
                <c:pt idx="7">
                  <c:v>6.3E-2</c:v>
                </c:pt>
                <c:pt idx="8">
                  <c:v>5.8999999999999997E-2</c:v>
                </c:pt>
                <c:pt idx="9">
                  <c:v>5.6000000000000001E-2</c:v>
                </c:pt>
                <c:pt idx="10">
                  <c:v>4.4999999999999998E-2</c:v>
                </c:pt>
                <c:pt idx="11">
                  <c:v>2.5000000000000001E-2</c:v>
                </c:pt>
                <c:pt idx="12">
                  <c:v>-5.0000000000000001E-3</c:v>
                </c:pt>
                <c:pt idx="13">
                  <c:v>-0.10199999999999999</c:v>
                </c:pt>
                <c:pt idx="14">
                  <c:v>-0.26500000000000001</c:v>
                </c:pt>
                <c:pt idx="15">
                  <c:v>-0.58299999999999996</c:v>
                </c:pt>
                <c:pt idx="16">
                  <c:v>-0.97699999999999998</c:v>
                </c:pt>
                <c:pt idx="17">
                  <c:v>-1.0780000000000001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D1-40A5-A848-F489E80239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569112"/>
        <c:axId val="735569768"/>
      </c:scatterChart>
      <c:valAx>
        <c:axId val="735569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Force</a:t>
                </a:r>
                <a:r>
                  <a:rPr lang="da-DK" baseline="0"/>
                  <a:t> (N)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735569768"/>
        <c:crosses val="autoZero"/>
        <c:crossBetween val="midCat"/>
      </c:valAx>
      <c:valAx>
        <c:axId val="735569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Output Voltaje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735569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Sheet2!$B$49</c:f>
              <c:strCache>
                <c:ptCount val="1"/>
                <c:pt idx="0">
                  <c:v>Arduino value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0801552930883639"/>
                  <c:y val="2.73611111111111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a-DK"/>
                </a:p>
              </c:txPr>
            </c:trendlineLbl>
          </c:trendline>
          <c:xVal>
            <c:numRef>
              <c:f>Sheet2!$A$50:$A$67</c:f>
              <c:numCache>
                <c:formatCode>General</c:formatCode>
                <c:ptCount val="18"/>
                <c:pt idx="0">
                  <c:v>1.9600000000000002</c:v>
                </c:pt>
                <c:pt idx="1">
                  <c:v>0.98000000000000009</c:v>
                </c:pt>
                <c:pt idx="2">
                  <c:v>0.49000000000000005</c:v>
                </c:pt>
                <c:pt idx="3">
                  <c:v>0.19600000000000001</c:v>
                </c:pt>
                <c:pt idx="4">
                  <c:v>9.8000000000000004E-2</c:v>
                </c:pt>
                <c:pt idx="5">
                  <c:v>4.9000000000000002E-2</c:v>
                </c:pt>
                <c:pt idx="6">
                  <c:v>0</c:v>
                </c:pt>
                <c:pt idx="7">
                  <c:v>-4.9000000000000007E-3</c:v>
                </c:pt>
                <c:pt idx="8">
                  <c:v>-9.8000000000000014E-3</c:v>
                </c:pt>
                <c:pt idx="9">
                  <c:v>-1.9600000000000003E-2</c:v>
                </c:pt>
                <c:pt idx="10">
                  <c:v>-4.9000000000000002E-2</c:v>
                </c:pt>
                <c:pt idx="11">
                  <c:v>-9.8000000000000004E-2</c:v>
                </c:pt>
                <c:pt idx="12">
                  <c:v>-0.19600000000000001</c:v>
                </c:pt>
                <c:pt idx="13">
                  <c:v>-0.49000000000000005</c:v>
                </c:pt>
                <c:pt idx="14">
                  <c:v>-0.98000000000000009</c:v>
                </c:pt>
                <c:pt idx="15">
                  <c:v>-1.9600000000000002</c:v>
                </c:pt>
                <c:pt idx="16">
                  <c:v>-2.94</c:v>
                </c:pt>
                <c:pt idx="17">
                  <c:v>-3.4300000000000006</c:v>
                </c:pt>
              </c:numCache>
            </c:numRef>
          </c:xVal>
          <c:yVal>
            <c:numRef>
              <c:f>Sheet2!$B$50:$B$67</c:f>
              <c:numCache>
                <c:formatCode>0</c:formatCode>
                <c:ptCount val="18"/>
                <c:pt idx="0">
                  <c:v>149.09440000000001</c:v>
                </c:pt>
                <c:pt idx="1">
                  <c:v>79.462400000000002</c:v>
                </c:pt>
                <c:pt idx="2">
                  <c:v>48.332799999999999</c:v>
                </c:pt>
                <c:pt idx="3">
                  <c:v>28.057600000000001</c:v>
                </c:pt>
                <c:pt idx="4">
                  <c:v>22.732800000000001</c:v>
                </c:pt>
                <c:pt idx="5">
                  <c:v>17.817599999999999</c:v>
                </c:pt>
                <c:pt idx="6">
                  <c:v>14.131200000000002</c:v>
                </c:pt>
                <c:pt idx="7">
                  <c:v>12.9024</c:v>
                </c:pt>
                <c:pt idx="8">
                  <c:v>12.0832</c:v>
                </c:pt>
                <c:pt idx="9">
                  <c:v>11.4688</c:v>
                </c:pt>
                <c:pt idx="10">
                  <c:v>9.2159999999999993</c:v>
                </c:pt>
                <c:pt idx="11">
                  <c:v>5.12</c:v>
                </c:pt>
                <c:pt idx="12">
                  <c:v>-1.024</c:v>
                </c:pt>
                <c:pt idx="13">
                  <c:v>-20.889599999999998</c:v>
                </c:pt>
                <c:pt idx="14">
                  <c:v>-54.272000000000006</c:v>
                </c:pt>
                <c:pt idx="15">
                  <c:v>-119.3984</c:v>
                </c:pt>
                <c:pt idx="16">
                  <c:v>-200.08959999999999</c:v>
                </c:pt>
                <c:pt idx="17">
                  <c:v>-220.77440000000001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40-4B39-A0C0-7248C99584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3650752"/>
        <c:axId val="743641240"/>
      </c:scatterChart>
      <c:valAx>
        <c:axId val="7436507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Force</a:t>
                </a:r>
                <a:r>
                  <a:rPr lang="en-US" baseline="0"/>
                  <a:t> (N)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743641240"/>
        <c:crosses val="autoZero"/>
        <c:crossBetween val="midCat"/>
      </c:valAx>
      <c:valAx>
        <c:axId val="743641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Arduino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743650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Sheet2!$B$71</c:f>
              <c:strCache>
                <c:ptCount val="1"/>
                <c:pt idx="0">
                  <c:v>Force (N)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4702230971128609"/>
                  <c:y val="-2.10382035578885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a-DK"/>
                </a:p>
              </c:txPr>
            </c:trendlineLbl>
          </c:trendline>
          <c:xVal>
            <c:numRef>
              <c:f>Sheet2!$A$72:$A$89</c:f>
              <c:numCache>
                <c:formatCode>0</c:formatCode>
                <c:ptCount val="18"/>
                <c:pt idx="0">
                  <c:v>149.09440000000001</c:v>
                </c:pt>
                <c:pt idx="1">
                  <c:v>79.462400000000002</c:v>
                </c:pt>
                <c:pt idx="2">
                  <c:v>48.332799999999999</c:v>
                </c:pt>
                <c:pt idx="3">
                  <c:v>28.057600000000001</c:v>
                </c:pt>
                <c:pt idx="4">
                  <c:v>22.732800000000001</c:v>
                </c:pt>
                <c:pt idx="5">
                  <c:v>17.817599999999999</c:v>
                </c:pt>
                <c:pt idx="6">
                  <c:v>14.131200000000002</c:v>
                </c:pt>
                <c:pt idx="7">
                  <c:v>12.9024</c:v>
                </c:pt>
                <c:pt idx="8">
                  <c:v>12.0832</c:v>
                </c:pt>
                <c:pt idx="9">
                  <c:v>11.4688</c:v>
                </c:pt>
                <c:pt idx="10">
                  <c:v>9.2159999999999993</c:v>
                </c:pt>
                <c:pt idx="11">
                  <c:v>5.12</c:v>
                </c:pt>
                <c:pt idx="12">
                  <c:v>-1.024</c:v>
                </c:pt>
                <c:pt idx="13">
                  <c:v>-20.889599999999998</c:v>
                </c:pt>
                <c:pt idx="14">
                  <c:v>-54.272000000000006</c:v>
                </c:pt>
                <c:pt idx="15">
                  <c:v>-119.3984</c:v>
                </c:pt>
                <c:pt idx="16">
                  <c:v>-200.08959999999999</c:v>
                </c:pt>
                <c:pt idx="17">
                  <c:v>-220.77440000000001</c:v>
                </c:pt>
              </c:numCache>
            </c:numRef>
          </c:xVal>
          <c:yVal>
            <c:numRef>
              <c:f>Sheet2!$B$72:$B$89</c:f>
              <c:numCache>
                <c:formatCode>0.00</c:formatCode>
                <c:ptCount val="18"/>
                <c:pt idx="0">
                  <c:v>1.9600000000000002</c:v>
                </c:pt>
                <c:pt idx="1">
                  <c:v>0.98000000000000009</c:v>
                </c:pt>
                <c:pt idx="2">
                  <c:v>0.49000000000000005</c:v>
                </c:pt>
                <c:pt idx="3">
                  <c:v>0.19600000000000001</c:v>
                </c:pt>
                <c:pt idx="4">
                  <c:v>9.8000000000000004E-2</c:v>
                </c:pt>
                <c:pt idx="5">
                  <c:v>4.9000000000000002E-2</c:v>
                </c:pt>
                <c:pt idx="6">
                  <c:v>0</c:v>
                </c:pt>
                <c:pt idx="7">
                  <c:v>-4.9000000000000007E-3</c:v>
                </c:pt>
                <c:pt idx="8">
                  <c:v>-9.8000000000000014E-3</c:v>
                </c:pt>
                <c:pt idx="9">
                  <c:v>-1.9600000000000003E-2</c:v>
                </c:pt>
                <c:pt idx="10">
                  <c:v>-4.9000000000000002E-2</c:v>
                </c:pt>
                <c:pt idx="11">
                  <c:v>-9.8000000000000004E-2</c:v>
                </c:pt>
                <c:pt idx="12">
                  <c:v>-0.19600000000000001</c:v>
                </c:pt>
                <c:pt idx="13">
                  <c:v>-0.49000000000000005</c:v>
                </c:pt>
                <c:pt idx="14">
                  <c:v>-0.98000000000000009</c:v>
                </c:pt>
                <c:pt idx="15">
                  <c:v>-1.9600000000000002</c:v>
                </c:pt>
                <c:pt idx="16">
                  <c:v>-2.94</c:v>
                </c:pt>
                <c:pt idx="17">
                  <c:v>-3.4300000000000006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93-461E-BC67-29B23E66A6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665904"/>
        <c:axId val="532664592"/>
      </c:scatterChart>
      <c:valAx>
        <c:axId val="5326659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Arduino</a:t>
                </a:r>
                <a:r>
                  <a:rPr lang="da-DK" baseline="0"/>
                  <a:t> value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32664592"/>
        <c:crosses val="autoZero"/>
        <c:crossBetween val="midCat"/>
      </c:valAx>
      <c:valAx>
        <c:axId val="532664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Force (N)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424884076990376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32665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312420</xdr:colOff>
      <xdr:row>27</xdr:row>
      <xdr:rowOff>105727</xdr:rowOff>
    </xdr:from>
    <xdr:to>
      <xdr:col>13</xdr:col>
      <xdr:colOff>7620</xdr:colOff>
      <xdr:row>42</xdr:row>
      <xdr:rowOff>134302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E9B65D3-0835-E199-6323-9A6EEDA8B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436245</xdr:colOff>
      <xdr:row>27</xdr:row>
      <xdr:rowOff>86677</xdr:rowOff>
    </xdr:from>
    <xdr:to>
      <xdr:col>22</xdr:col>
      <xdr:colOff>131445</xdr:colOff>
      <xdr:row>42</xdr:row>
      <xdr:rowOff>115252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336DA52-E345-FF3C-AF70-03B910D21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304800</xdr:colOff>
      <xdr:row>3</xdr:row>
      <xdr:rowOff>61912</xdr:rowOff>
    </xdr:from>
    <xdr:to>
      <xdr:col>8</xdr:col>
      <xdr:colOff>542925</xdr:colOff>
      <xdr:row>17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5DF144-F203-ABA9-ADE1-E1E5B5D93B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157162</xdr:colOff>
      <xdr:row>27</xdr:row>
      <xdr:rowOff>14287</xdr:rowOff>
    </xdr:from>
    <xdr:to>
      <xdr:col>10</xdr:col>
      <xdr:colOff>385762</xdr:colOff>
      <xdr:row>41</xdr:row>
      <xdr:rowOff>90487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2EEE49-8527-8755-A506-782F16CC3D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785812</xdr:colOff>
      <xdr:row>49</xdr:row>
      <xdr:rowOff>166687</xdr:rowOff>
    </xdr:from>
    <xdr:to>
      <xdr:col>9</xdr:col>
      <xdr:colOff>414337</xdr:colOff>
      <xdr:row>64</xdr:row>
      <xdr:rowOff>52387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C97F778-9002-AD27-A3F1-9637B98125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557212</xdr:colOff>
      <xdr:row>72</xdr:row>
      <xdr:rowOff>42862</xdr:rowOff>
    </xdr:from>
    <xdr:to>
      <xdr:col>9</xdr:col>
      <xdr:colOff>185737</xdr:colOff>
      <xdr:row>86</xdr:row>
      <xdr:rowOff>119062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A126927-515A-BB6D-2A18-B3E042EC6E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E88ED-F4D0-4B6D-A236-085575F03890}">
  <dimension ref="A1:E14"/>
  <sheetViews>
    <sheetView workbookViewId="0">
      <selection activeCell="D16" sqref="D16"/>
    </sheetView>
  </sheetViews>
  <sheetFormatPr defaultRowHeight="15" x14ac:dyDescent="0.25"/>
  <cols>
    <col min="1" max="1" width="17.140625" customWidth="1"/>
    <col min="2" max="2" width="19.42578125" customWidth="1"/>
    <col min="4" max="4" width="13.140625" customWidth="1"/>
    <col min="5" max="5" width="18.28515625" customWidth="1"/>
  </cols>
  <sheetData>
    <row r="1" spans="1:5" x14ac:dyDescent="0.25">
      <c r="A1" s="2" t="s">
        <v>0</v>
      </c>
      <c r="B1" s="2"/>
      <c r="D1" s="2" t="s">
        <v>3</v>
      </c>
      <c r="E1" s="2"/>
    </row>
    <row r="2" spans="1:5" x14ac:dyDescent="0.25">
      <c r="A2" t="s">
        <v>1</v>
      </c>
      <c r="B2" t="s">
        <v>2</v>
      </c>
      <c r="D2" t="s">
        <v>1</v>
      </c>
      <c r="E2" t="s">
        <v>2</v>
      </c>
    </row>
    <row r="3" spans="1:5" x14ac:dyDescent="0.25">
      <c r="A3">
        <v>0</v>
      </c>
      <c r="B3">
        <v>6.9000000000000006E-2</v>
      </c>
      <c r="D3">
        <v>5</v>
      </c>
      <c r="E3">
        <v>8.6999999999999994E-2</v>
      </c>
    </row>
    <row r="4" spans="1:5" x14ac:dyDescent="0.25">
      <c r="A4" s="1">
        <v>0.5</v>
      </c>
      <c r="B4">
        <v>6.3E-2</v>
      </c>
      <c r="D4">
        <v>10</v>
      </c>
      <c r="E4">
        <v>0.111</v>
      </c>
    </row>
    <row r="5" spans="1:5" x14ac:dyDescent="0.25">
      <c r="A5">
        <v>1</v>
      </c>
      <c r="B5">
        <v>5.8999999999999997E-2</v>
      </c>
      <c r="D5">
        <v>20</v>
      </c>
      <c r="E5">
        <v>0.13700000000000001</v>
      </c>
    </row>
    <row r="6" spans="1:5" x14ac:dyDescent="0.25">
      <c r="A6">
        <v>2</v>
      </c>
      <c r="B6">
        <v>5.6000000000000001E-2</v>
      </c>
      <c r="D6">
        <v>50</v>
      </c>
      <c r="E6">
        <v>0.23599999999999999</v>
      </c>
    </row>
    <row r="7" spans="1:5" x14ac:dyDescent="0.25">
      <c r="A7">
        <v>5</v>
      </c>
      <c r="B7">
        <v>4.4999999999999998E-2</v>
      </c>
      <c r="D7">
        <v>100</v>
      </c>
      <c r="E7">
        <v>0.38800000000000001</v>
      </c>
    </row>
    <row r="8" spans="1:5" x14ac:dyDescent="0.25">
      <c r="A8">
        <v>10</v>
      </c>
      <c r="B8">
        <v>2.5000000000000001E-2</v>
      </c>
      <c r="D8">
        <v>200</v>
      </c>
      <c r="E8">
        <v>0.72799999999999998</v>
      </c>
    </row>
    <row r="9" spans="1:5" x14ac:dyDescent="0.25">
      <c r="A9">
        <v>20</v>
      </c>
      <c r="B9">
        <v>-5.0000000000000001E-3</v>
      </c>
    </row>
    <row r="10" spans="1:5" x14ac:dyDescent="0.25">
      <c r="A10">
        <v>50</v>
      </c>
      <c r="B10">
        <v>-0.10199999999999999</v>
      </c>
    </row>
    <row r="11" spans="1:5" x14ac:dyDescent="0.25">
      <c r="A11">
        <v>100</v>
      </c>
      <c r="B11">
        <v>-0.26500000000000001</v>
      </c>
    </row>
    <row r="12" spans="1:5" x14ac:dyDescent="0.25">
      <c r="A12">
        <v>200</v>
      </c>
      <c r="B12">
        <v>-0.58299999999999996</v>
      </c>
    </row>
    <row r="13" spans="1:5" x14ac:dyDescent="0.25">
      <c r="A13">
        <v>300</v>
      </c>
      <c r="B13">
        <v>-0.97699999999999998</v>
      </c>
    </row>
    <row r="14" spans="1:5" x14ac:dyDescent="0.25">
      <c r="A14">
        <v>350</v>
      </c>
      <c r="B14">
        <v>-1.0780000000000001</v>
      </c>
    </row>
  </sheetData>
  <mergeCells count="2">
    <mergeCell ref="A1:B1"/>
    <mergeCell ref="D1:E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B884-3EDF-40BD-9ACB-39FB0EA97EE8}">
  <dimension ref="A1:N89"/>
  <sheetViews>
    <sheetView tabSelected="1" workbookViewId="0">
      <selection activeCell="N77" sqref="N77"/>
    </sheetView>
  </sheetViews>
  <sheetFormatPr defaultRowHeight="15" x14ac:dyDescent="0.25"/>
  <cols>
    <col min="1" max="1" width="17.85546875" customWidth="1"/>
    <col min="2" max="2" width="19" customWidth="1"/>
    <col min="3" max="3" width="18.140625" customWidth="1"/>
    <col min="4" max="4" width="10.28515625" bestFit="1" customWidth="1"/>
    <col min="12" max="12" width="27.5703125" customWidth="1"/>
    <col min="13" max="13" width="16.42578125" customWidth="1"/>
  </cols>
  <sheetData>
    <row r="1" spans="1:13" x14ac:dyDescent="0.25">
      <c r="A1" s="6" t="s">
        <v>3</v>
      </c>
      <c r="B1" s="6"/>
    </row>
    <row r="2" spans="1:13" x14ac:dyDescent="0.25">
      <c r="A2" s="7" t="s">
        <v>1</v>
      </c>
      <c r="B2" s="7" t="s">
        <v>2</v>
      </c>
      <c r="K2" s="9" t="s">
        <v>11</v>
      </c>
      <c r="L2" s="10"/>
      <c r="M2" s="11"/>
    </row>
    <row r="3" spans="1:13" x14ac:dyDescent="0.25">
      <c r="A3" s="4">
        <v>200</v>
      </c>
      <c r="B3" s="4">
        <v>0.72799999999999998</v>
      </c>
      <c r="K3" s="7" t="s">
        <v>12</v>
      </c>
      <c r="L3" s="7" t="s">
        <v>6</v>
      </c>
      <c r="M3" s="7" t="s">
        <v>7</v>
      </c>
    </row>
    <row r="4" spans="1:13" x14ac:dyDescent="0.25">
      <c r="A4" s="4">
        <v>100</v>
      </c>
      <c r="B4" s="4">
        <v>0.38800000000000001</v>
      </c>
      <c r="K4" s="7" t="s">
        <v>8</v>
      </c>
      <c r="L4" s="7">
        <v>3.3E-3</v>
      </c>
      <c r="M4" s="7">
        <v>6.5000000000000002E-2</v>
      </c>
    </row>
    <row r="5" spans="1:13" x14ac:dyDescent="0.25">
      <c r="A5" s="4">
        <v>50</v>
      </c>
      <c r="B5" s="4">
        <v>0.23599999999999999</v>
      </c>
      <c r="K5" s="7" t="s">
        <v>9</v>
      </c>
      <c r="L5" s="7">
        <v>0.33989999999999998</v>
      </c>
      <c r="M5" s="7">
        <v>6.5000000000000002E-2</v>
      </c>
    </row>
    <row r="6" spans="1:13" x14ac:dyDescent="0.25">
      <c r="A6" s="4">
        <v>20</v>
      </c>
      <c r="B6" s="4">
        <v>0.13700000000000001</v>
      </c>
    </row>
    <row r="7" spans="1:13" x14ac:dyDescent="0.25">
      <c r="A7" s="4">
        <v>10</v>
      </c>
      <c r="B7" s="4">
        <v>0.111</v>
      </c>
    </row>
    <row r="8" spans="1:13" x14ac:dyDescent="0.25">
      <c r="A8" s="4">
        <v>5</v>
      </c>
      <c r="B8" s="4">
        <v>8.6999999999999994E-2</v>
      </c>
    </row>
    <row r="9" spans="1:13" x14ac:dyDescent="0.25">
      <c r="A9" s="4">
        <v>0</v>
      </c>
      <c r="B9" s="4">
        <v>6.9000000000000006E-2</v>
      </c>
    </row>
    <row r="10" spans="1:13" x14ac:dyDescent="0.25">
      <c r="A10" s="5">
        <v>-0.5</v>
      </c>
      <c r="B10" s="4">
        <v>6.3E-2</v>
      </c>
      <c r="D10" s="3"/>
    </row>
    <row r="11" spans="1:13" x14ac:dyDescent="0.25">
      <c r="A11" s="4">
        <v>-1</v>
      </c>
      <c r="B11" s="4">
        <v>5.8999999999999997E-2</v>
      </c>
    </row>
    <row r="12" spans="1:13" x14ac:dyDescent="0.25">
      <c r="A12" s="4">
        <v>-2</v>
      </c>
      <c r="B12" s="4">
        <v>5.6000000000000001E-2</v>
      </c>
    </row>
    <row r="13" spans="1:13" x14ac:dyDescent="0.25">
      <c r="A13" s="4">
        <v>-5</v>
      </c>
      <c r="B13" s="4">
        <v>4.4999999999999998E-2</v>
      </c>
    </row>
    <row r="14" spans="1:13" x14ac:dyDescent="0.25">
      <c r="A14" s="4">
        <v>-10</v>
      </c>
      <c r="B14" s="4">
        <v>2.5000000000000001E-2</v>
      </c>
    </row>
    <row r="15" spans="1:13" x14ac:dyDescent="0.25">
      <c r="A15" s="4">
        <v>-20</v>
      </c>
      <c r="B15" s="4">
        <v>-5.0000000000000001E-3</v>
      </c>
    </row>
    <row r="16" spans="1:13" x14ac:dyDescent="0.25">
      <c r="A16" s="4">
        <v>-50</v>
      </c>
      <c r="B16" s="4">
        <v>-0.10199999999999999</v>
      </c>
    </row>
    <row r="17" spans="1:3" x14ac:dyDescent="0.25">
      <c r="A17" s="4">
        <v>-100</v>
      </c>
      <c r="B17" s="4">
        <v>-0.26500000000000001</v>
      </c>
    </row>
    <row r="18" spans="1:3" x14ac:dyDescent="0.25">
      <c r="A18" s="4">
        <v>-200</v>
      </c>
      <c r="B18" s="4">
        <v>-0.58299999999999996</v>
      </c>
    </row>
    <row r="19" spans="1:3" x14ac:dyDescent="0.25">
      <c r="A19" s="4">
        <v>-300</v>
      </c>
      <c r="B19" s="4">
        <v>-0.97699999999999998</v>
      </c>
    </row>
    <row r="20" spans="1:3" x14ac:dyDescent="0.25">
      <c r="A20" s="4">
        <v>-350</v>
      </c>
      <c r="B20" s="4">
        <v>-1.0780000000000001</v>
      </c>
    </row>
    <row r="26" spans="1:3" x14ac:dyDescent="0.25">
      <c r="A26" s="6" t="s">
        <v>5</v>
      </c>
      <c r="B26" s="6"/>
      <c r="C26" s="4"/>
    </row>
    <row r="27" spans="1:3" x14ac:dyDescent="0.25">
      <c r="A27" s="7" t="s">
        <v>1</v>
      </c>
      <c r="B27" s="8" t="s">
        <v>4</v>
      </c>
      <c r="C27" s="7" t="s">
        <v>2</v>
      </c>
    </row>
    <row r="28" spans="1:3" x14ac:dyDescent="0.25">
      <c r="A28" s="4">
        <v>200</v>
      </c>
      <c r="B28" s="4">
        <f>A28*9.8/1000</f>
        <v>1.9600000000000002</v>
      </c>
      <c r="C28" s="4">
        <v>0.72799999999999998</v>
      </c>
    </row>
    <row r="29" spans="1:3" x14ac:dyDescent="0.25">
      <c r="A29" s="4">
        <v>100</v>
      </c>
      <c r="B29" s="4">
        <f t="shared" ref="B29:B45" si="0">A29*9.8/1000</f>
        <v>0.98000000000000009</v>
      </c>
      <c r="C29" s="4">
        <v>0.38800000000000001</v>
      </c>
    </row>
    <row r="30" spans="1:3" x14ac:dyDescent="0.25">
      <c r="A30" s="4">
        <v>50</v>
      </c>
      <c r="B30" s="4">
        <f t="shared" si="0"/>
        <v>0.49000000000000005</v>
      </c>
      <c r="C30" s="4">
        <v>0.23599999999999999</v>
      </c>
    </row>
    <row r="31" spans="1:3" x14ac:dyDescent="0.25">
      <c r="A31" s="4">
        <v>20</v>
      </c>
      <c r="B31" s="4">
        <f t="shared" si="0"/>
        <v>0.19600000000000001</v>
      </c>
      <c r="C31" s="4">
        <v>0.13700000000000001</v>
      </c>
    </row>
    <row r="32" spans="1:3" x14ac:dyDescent="0.25">
      <c r="A32" s="4">
        <v>10</v>
      </c>
      <c r="B32" s="4">
        <f t="shared" si="0"/>
        <v>9.8000000000000004E-2</v>
      </c>
      <c r="C32" s="4">
        <v>0.111</v>
      </c>
    </row>
    <row r="33" spans="1:3" x14ac:dyDescent="0.25">
      <c r="A33" s="4">
        <v>5</v>
      </c>
      <c r="B33" s="4">
        <f t="shared" si="0"/>
        <v>4.9000000000000002E-2</v>
      </c>
      <c r="C33" s="4">
        <v>8.6999999999999994E-2</v>
      </c>
    </row>
    <row r="34" spans="1:3" x14ac:dyDescent="0.25">
      <c r="A34" s="4">
        <v>0</v>
      </c>
      <c r="B34" s="4">
        <f t="shared" si="0"/>
        <v>0</v>
      </c>
      <c r="C34" s="4">
        <v>6.9000000000000006E-2</v>
      </c>
    </row>
    <row r="35" spans="1:3" x14ac:dyDescent="0.25">
      <c r="A35" s="5">
        <v>-0.5</v>
      </c>
      <c r="B35" s="4">
        <f t="shared" si="0"/>
        <v>-4.9000000000000007E-3</v>
      </c>
      <c r="C35" s="4">
        <v>6.3E-2</v>
      </c>
    </row>
    <row r="36" spans="1:3" x14ac:dyDescent="0.25">
      <c r="A36" s="4">
        <v>-1</v>
      </c>
      <c r="B36" s="4">
        <f t="shared" si="0"/>
        <v>-9.8000000000000014E-3</v>
      </c>
      <c r="C36" s="4">
        <v>5.8999999999999997E-2</v>
      </c>
    </row>
    <row r="37" spans="1:3" x14ac:dyDescent="0.25">
      <c r="A37" s="4">
        <v>-2</v>
      </c>
      <c r="B37" s="4">
        <f t="shared" si="0"/>
        <v>-1.9600000000000003E-2</v>
      </c>
      <c r="C37" s="4">
        <v>5.6000000000000001E-2</v>
      </c>
    </row>
    <row r="38" spans="1:3" x14ac:dyDescent="0.25">
      <c r="A38" s="4">
        <v>-5</v>
      </c>
      <c r="B38" s="4">
        <f t="shared" si="0"/>
        <v>-4.9000000000000002E-2</v>
      </c>
      <c r="C38" s="4">
        <v>4.4999999999999998E-2</v>
      </c>
    </row>
    <row r="39" spans="1:3" x14ac:dyDescent="0.25">
      <c r="A39" s="4">
        <v>-10</v>
      </c>
      <c r="B39" s="4">
        <f t="shared" si="0"/>
        <v>-9.8000000000000004E-2</v>
      </c>
      <c r="C39" s="4">
        <v>2.5000000000000001E-2</v>
      </c>
    </row>
    <row r="40" spans="1:3" x14ac:dyDescent="0.25">
      <c r="A40" s="4">
        <v>-20</v>
      </c>
      <c r="B40" s="4">
        <f t="shared" si="0"/>
        <v>-0.19600000000000001</v>
      </c>
      <c r="C40" s="4">
        <v>-5.0000000000000001E-3</v>
      </c>
    </row>
    <row r="41" spans="1:3" x14ac:dyDescent="0.25">
      <c r="A41" s="4">
        <v>-50</v>
      </c>
      <c r="B41" s="4">
        <f t="shared" si="0"/>
        <v>-0.49000000000000005</v>
      </c>
      <c r="C41" s="4">
        <v>-0.10199999999999999</v>
      </c>
    </row>
    <row r="42" spans="1:3" x14ac:dyDescent="0.25">
      <c r="A42" s="4">
        <v>-100</v>
      </c>
      <c r="B42" s="4">
        <f t="shared" si="0"/>
        <v>-0.98000000000000009</v>
      </c>
      <c r="C42" s="4">
        <v>-0.26500000000000001</v>
      </c>
    </row>
    <row r="43" spans="1:3" x14ac:dyDescent="0.25">
      <c r="A43" s="4">
        <v>-200</v>
      </c>
      <c r="B43" s="4">
        <f t="shared" si="0"/>
        <v>-1.9600000000000002</v>
      </c>
      <c r="C43" s="4">
        <v>-0.58299999999999996</v>
      </c>
    </row>
    <row r="44" spans="1:3" x14ac:dyDescent="0.25">
      <c r="A44" s="4">
        <v>-300</v>
      </c>
      <c r="B44" s="4">
        <f t="shared" si="0"/>
        <v>-2.94</v>
      </c>
      <c r="C44" s="4">
        <v>-0.97699999999999998</v>
      </c>
    </row>
    <row r="45" spans="1:3" x14ac:dyDescent="0.25">
      <c r="A45" s="4">
        <v>-350</v>
      </c>
      <c r="B45" s="4">
        <f t="shared" si="0"/>
        <v>-3.4300000000000006</v>
      </c>
      <c r="C45" s="4">
        <v>-1.0780000000000001</v>
      </c>
    </row>
    <row r="49" spans="1:2" x14ac:dyDescent="0.25">
      <c r="A49" s="8" t="s">
        <v>4</v>
      </c>
      <c r="B49" s="8" t="s">
        <v>10</v>
      </c>
    </row>
    <row r="50" spans="1:2" x14ac:dyDescent="0.25">
      <c r="A50" s="4">
        <v>1.9600000000000002</v>
      </c>
      <c r="B50" s="13">
        <f>C28*1024/5</f>
        <v>149.09440000000001</v>
      </c>
    </row>
    <row r="51" spans="1:2" x14ac:dyDescent="0.25">
      <c r="A51" s="4">
        <v>0.98000000000000009</v>
      </c>
      <c r="B51" s="13">
        <f t="shared" ref="B51:B67" si="1">C29*1024/5</f>
        <v>79.462400000000002</v>
      </c>
    </row>
    <row r="52" spans="1:2" x14ac:dyDescent="0.25">
      <c r="A52" s="4">
        <v>0.49000000000000005</v>
      </c>
      <c r="B52" s="13">
        <f t="shared" si="1"/>
        <v>48.332799999999999</v>
      </c>
    </row>
    <row r="53" spans="1:2" x14ac:dyDescent="0.25">
      <c r="A53" s="4">
        <v>0.19600000000000001</v>
      </c>
      <c r="B53" s="13">
        <f t="shared" si="1"/>
        <v>28.057600000000001</v>
      </c>
    </row>
    <row r="54" spans="1:2" x14ac:dyDescent="0.25">
      <c r="A54" s="4">
        <v>9.8000000000000004E-2</v>
      </c>
      <c r="B54" s="13">
        <f t="shared" si="1"/>
        <v>22.732800000000001</v>
      </c>
    </row>
    <row r="55" spans="1:2" x14ac:dyDescent="0.25">
      <c r="A55" s="4">
        <v>4.9000000000000002E-2</v>
      </c>
      <c r="B55" s="13">
        <f t="shared" si="1"/>
        <v>17.817599999999999</v>
      </c>
    </row>
    <row r="56" spans="1:2" x14ac:dyDescent="0.25">
      <c r="A56" s="4">
        <v>0</v>
      </c>
      <c r="B56" s="13">
        <f t="shared" si="1"/>
        <v>14.131200000000002</v>
      </c>
    </row>
    <row r="57" spans="1:2" x14ac:dyDescent="0.25">
      <c r="A57" s="4">
        <v>-4.9000000000000007E-3</v>
      </c>
      <c r="B57" s="13">
        <f t="shared" si="1"/>
        <v>12.9024</v>
      </c>
    </row>
    <row r="58" spans="1:2" x14ac:dyDescent="0.25">
      <c r="A58" s="4">
        <v>-9.8000000000000014E-3</v>
      </c>
      <c r="B58" s="13">
        <f t="shared" si="1"/>
        <v>12.0832</v>
      </c>
    </row>
    <row r="59" spans="1:2" x14ac:dyDescent="0.25">
      <c r="A59" s="4">
        <v>-1.9600000000000003E-2</v>
      </c>
      <c r="B59" s="13">
        <f t="shared" si="1"/>
        <v>11.4688</v>
      </c>
    </row>
    <row r="60" spans="1:2" x14ac:dyDescent="0.25">
      <c r="A60" s="4">
        <v>-4.9000000000000002E-2</v>
      </c>
      <c r="B60" s="13">
        <f t="shared" si="1"/>
        <v>9.2159999999999993</v>
      </c>
    </row>
    <row r="61" spans="1:2" x14ac:dyDescent="0.25">
      <c r="A61" s="4">
        <v>-9.8000000000000004E-2</v>
      </c>
      <c r="B61" s="13">
        <f t="shared" si="1"/>
        <v>5.12</v>
      </c>
    </row>
    <row r="62" spans="1:2" x14ac:dyDescent="0.25">
      <c r="A62" s="4">
        <v>-0.19600000000000001</v>
      </c>
      <c r="B62" s="13">
        <f t="shared" si="1"/>
        <v>-1.024</v>
      </c>
    </row>
    <row r="63" spans="1:2" x14ac:dyDescent="0.25">
      <c r="A63" s="4">
        <v>-0.49000000000000005</v>
      </c>
      <c r="B63" s="13">
        <f t="shared" si="1"/>
        <v>-20.889599999999998</v>
      </c>
    </row>
    <row r="64" spans="1:2" x14ac:dyDescent="0.25">
      <c r="A64" s="4">
        <v>-0.98000000000000009</v>
      </c>
      <c r="B64" s="13">
        <f t="shared" si="1"/>
        <v>-54.272000000000006</v>
      </c>
    </row>
    <row r="65" spans="1:14" x14ac:dyDescent="0.25">
      <c r="A65" s="4">
        <v>-1.9600000000000002</v>
      </c>
      <c r="B65" s="13">
        <f t="shared" si="1"/>
        <v>-119.3984</v>
      </c>
    </row>
    <row r="66" spans="1:14" x14ac:dyDescent="0.25">
      <c r="A66" s="4">
        <v>-2.94</v>
      </c>
      <c r="B66" s="13">
        <f t="shared" si="1"/>
        <v>-200.08959999999999</v>
      </c>
    </row>
    <row r="67" spans="1:14" x14ac:dyDescent="0.25">
      <c r="A67" s="4">
        <v>-3.4300000000000006</v>
      </c>
      <c r="B67" s="13">
        <f t="shared" si="1"/>
        <v>-220.77440000000001</v>
      </c>
    </row>
    <row r="71" spans="1:14" x14ac:dyDescent="0.25">
      <c r="A71" s="7" t="s">
        <v>10</v>
      </c>
      <c r="B71" s="7" t="s">
        <v>4</v>
      </c>
    </row>
    <row r="72" spans="1:14" x14ac:dyDescent="0.25">
      <c r="A72" s="13">
        <v>149.09440000000001</v>
      </c>
      <c r="B72" s="12">
        <v>1.9600000000000002</v>
      </c>
    </row>
    <row r="73" spans="1:14" x14ac:dyDescent="0.25">
      <c r="A73" s="13">
        <v>79.462400000000002</v>
      </c>
      <c r="B73" s="12">
        <v>0.98000000000000009</v>
      </c>
    </row>
    <row r="74" spans="1:14" x14ac:dyDescent="0.25">
      <c r="A74" s="13">
        <v>48.332799999999999</v>
      </c>
      <c r="B74" s="12">
        <v>0.49000000000000005</v>
      </c>
    </row>
    <row r="75" spans="1:14" x14ac:dyDescent="0.25">
      <c r="A75" s="13">
        <v>28.057600000000001</v>
      </c>
      <c r="B75" s="12">
        <v>0.19600000000000001</v>
      </c>
      <c r="L75" s="9" t="s">
        <v>13</v>
      </c>
      <c r="M75" s="10"/>
      <c r="N75" s="11"/>
    </row>
    <row r="76" spans="1:14" x14ac:dyDescent="0.25">
      <c r="A76" s="13">
        <v>22.732800000000001</v>
      </c>
      <c r="B76" s="12">
        <v>9.8000000000000004E-2</v>
      </c>
      <c r="L76" s="7" t="s">
        <v>12</v>
      </c>
      <c r="M76" s="7" t="s">
        <v>6</v>
      </c>
      <c r="N76" s="7" t="s">
        <v>7</v>
      </c>
    </row>
    <row r="77" spans="1:14" x14ac:dyDescent="0.25">
      <c r="A77" s="13">
        <v>17.817599999999999</v>
      </c>
      <c r="B77" s="12">
        <v>4.9000000000000002E-2</v>
      </c>
      <c r="L77" s="7"/>
      <c r="M77" s="7">
        <v>1.44E-2</v>
      </c>
      <c r="N77" s="7">
        <v>-0.1915</v>
      </c>
    </row>
    <row r="78" spans="1:14" x14ac:dyDescent="0.25">
      <c r="A78" s="13">
        <v>14.131200000000002</v>
      </c>
      <c r="B78" s="12">
        <v>0</v>
      </c>
      <c r="L78" s="14"/>
      <c r="M78" s="14"/>
      <c r="N78" s="14"/>
    </row>
    <row r="79" spans="1:14" x14ac:dyDescent="0.25">
      <c r="A79" s="13">
        <v>12.9024</v>
      </c>
      <c r="B79" s="12">
        <v>-4.9000000000000007E-3</v>
      </c>
    </row>
    <row r="80" spans="1:14" x14ac:dyDescent="0.25">
      <c r="A80" s="13">
        <v>12.0832</v>
      </c>
      <c r="B80" s="12">
        <v>-9.8000000000000014E-3</v>
      </c>
    </row>
    <row r="81" spans="1:2" x14ac:dyDescent="0.25">
      <c r="A81" s="13">
        <v>11.4688</v>
      </c>
      <c r="B81" s="12">
        <v>-1.9600000000000003E-2</v>
      </c>
    </row>
    <row r="82" spans="1:2" x14ac:dyDescent="0.25">
      <c r="A82" s="13">
        <v>9.2159999999999993</v>
      </c>
      <c r="B82" s="12">
        <v>-4.9000000000000002E-2</v>
      </c>
    </row>
    <row r="83" spans="1:2" x14ac:dyDescent="0.25">
      <c r="A83" s="13">
        <v>5.12</v>
      </c>
      <c r="B83" s="12">
        <v>-9.8000000000000004E-2</v>
      </c>
    </row>
    <row r="84" spans="1:2" x14ac:dyDescent="0.25">
      <c r="A84" s="13">
        <v>-1.024</v>
      </c>
      <c r="B84" s="12">
        <v>-0.19600000000000001</v>
      </c>
    </row>
    <row r="85" spans="1:2" x14ac:dyDescent="0.25">
      <c r="A85" s="13">
        <v>-20.889599999999998</v>
      </c>
      <c r="B85" s="12">
        <v>-0.49000000000000005</v>
      </c>
    </row>
    <row r="86" spans="1:2" x14ac:dyDescent="0.25">
      <c r="A86" s="13">
        <v>-54.272000000000006</v>
      </c>
      <c r="B86" s="12">
        <v>-0.98000000000000009</v>
      </c>
    </row>
    <row r="87" spans="1:2" x14ac:dyDescent="0.25">
      <c r="A87" s="13">
        <v>-119.3984</v>
      </c>
      <c r="B87" s="12">
        <v>-1.9600000000000002</v>
      </c>
    </row>
    <row r="88" spans="1:2" x14ac:dyDescent="0.25">
      <c r="A88" s="13">
        <v>-200.08959999999999</v>
      </c>
      <c r="B88" s="12">
        <v>-2.94</v>
      </c>
    </row>
    <row r="89" spans="1:2" x14ac:dyDescent="0.25">
      <c r="A89" s="13">
        <v>-220.77440000000001</v>
      </c>
      <c r="B89" s="12">
        <v>-3.4300000000000006</v>
      </c>
    </row>
  </sheetData>
  <mergeCells count="4">
    <mergeCell ref="A1:B1"/>
    <mergeCell ref="A26:B26"/>
    <mergeCell ref="K2:M2"/>
    <mergeCell ref="L75:N75"/>
  </mergeCells>
  <pageMargins left="0.7" right="0.7" top="0.75" bottom="0.75" header="0.3" footer="0.3"/>
  <pageSetup paperSize="256" orientation="landscape" horizontalDpi="500" verticalDpi="500" copies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Saravana Prashanth Murali Babu</dc:creator>
  <cp:lastModifiedBy>Jonathan Andres Tirado Rosero</cp:lastModifiedBy>
  <dcterms:created xsi:type="dcterms:W3CDTF">2022-09-19T15:03:26Z</dcterms:created>
  <dcterms:modified xsi:type="dcterms:W3CDTF">2022-09-20T13:33:02Z</dcterms:modified>
</cp:coreProperties>
</file>